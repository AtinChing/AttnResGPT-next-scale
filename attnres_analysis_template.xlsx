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tin5551/Documents/GitHub/AttnResGPT-next-scale/"/>
    </mc:Choice>
  </mc:AlternateContent>
  <xr:revisionPtr revIDLastSave="0" documentId="13_ncr:1_{A7EF89D2-9D01-644B-AE4A-81DC48605F38}" xr6:coauthVersionLast="47" xr6:coauthVersionMax="47" xr10:uidLastSave="{00000000-0000-0000-0000-000000000000}"/>
  <bookViews>
    <workbookView xWindow="0" yWindow="640" windowWidth="30240" windowHeight="19000" activeTab="1" xr2:uid="{00000000-000D-0000-FFFF-FFFF00000000}"/>
  </bookViews>
  <sheets>
    <sheet name="RawData" sheetId="1" r:id="rId1"/>
    <sheet name="Summary" sheetId="2" r:id="rId2"/>
  </sheets>
  <definedNames>
    <definedName name="_xlnm._FilterDatabase" localSheetId="1" hidden="1">Summary!$B$1:$B$15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E15" i="2"/>
  <c r="G15" i="2"/>
  <c r="H15" i="2"/>
  <c r="H14" i="2"/>
  <c r="G14" i="2"/>
  <c r="E14" i="2"/>
  <c r="D14" i="2"/>
  <c r="H9" i="2"/>
  <c r="G9" i="2"/>
  <c r="E9" i="2"/>
  <c r="D9" i="2"/>
  <c r="H8" i="2"/>
  <c r="G8" i="2"/>
  <c r="E8" i="2"/>
  <c r="D8" i="2"/>
  <c r="H13" i="2"/>
  <c r="G13" i="2"/>
  <c r="E13" i="2"/>
  <c r="D13" i="2"/>
  <c r="H12" i="2"/>
  <c r="G12" i="2"/>
  <c r="E12" i="2"/>
  <c r="D12" i="2"/>
  <c r="H7" i="2"/>
  <c r="G7" i="2"/>
  <c r="E7" i="2"/>
  <c r="D7" i="2"/>
  <c r="H6" i="2"/>
  <c r="G6" i="2"/>
  <c r="E6" i="2"/>
  <c r="D6" i="2"/>
  <c r="H3" i="2"/>
  <c r="G3" i="2"/>
  <c r="E3" i="2"/>
  <c r="D3" i="2"/>
  <c r="H2" i="2"/>
  <c r="G2" i="2"/>
  <c r="E2" i="2"/>
  <c r="D2" i="2"/>
  <c r="H11" i="2"/>
  <c r="G11" i="2"/>
  <c r="E11" i="2"/>
  <c r="D11" i="2"/>
  <c r="H10" i="2"/>
  <c r="G10" i="2"/>
  <c r="I10" i="2" s="1"/>
  <c r="E10" i="2"/>
  <c r="D10" i="2"/>
  <c r="H5" i="2"/>
  <c r="G5" i="2"/>
  <c r="E5" i="2"/>
  <c r="D5" i="2"/>
  <c r="H4" i="2"/>
  <c r="G4" i="2"/>
  <c r="E4" i="2"/>
  <c r="D4" i="2"/>
  <c r="I11" i="2" l="1"/>
  <c r="F10" i="2"/>
  <c r="F7" i="2"/>
  <c r="I14" i="2"/>
  <c r="F15" i="2"/>
  <c r="I15" i="2"/>
  <c r="F4" i="2"/>
  <c r="I4" i="2"/>
  <c r="F2" i="2"/>
  <c r="I6" i="2"/>
  <c r="F8" i="2"/>
  <c r="I5" i="2"/>
  <c r="F3" i="2"/>
  <c r="I12" i="2"/>
  <c r="F14" i="2"/>
  <c r="I8" i="2"/>
  <c r="F5" i="2"/>
  <c r="I2" i="2"/>
  <c r="F12" i="2"/>
  <c r="I9" i="2"/>
  <c r="F9" i="2"/>
  <c r="I7" i="2"/>
  <c r="F11" i="2"/>
  <c r="F6" i="2"/>
  <c r="I3" i="2"/>
  <c r="F13" i="2"/>
  <c r="I13" i="2"/>
</calcChain>
</file>

<file path=xl/sharedStrings.xml><?xml version="1.0" encoding="utf-8"?>
<sst xmlns="http://schemas.openxmlformats.org/spreadsheetml/2006/main" count="59" uniqueCount="17">
  <si>
    <t>model</t>
  </si>
  <si>
    <t>size</t>
  </si>
  <si>
    <t>context</t>
  </si>
  <si>
    <t>steps</t>
  </si>
  <si>
    <t>perplexity</t>
  </si>
  <si>
    <t>val_loss</t>
  </si>
  <si>
    <t>baseline_ppl</t>
  </si>
  <si>
    <t>attnres_ppl</t>
  </si>
  <si>
    <t>delta_ppl</t>
  </si>
  <si>
    <t>baseline_loss</t>
  </si>
  <si>
    <t>attnres_loss</t>
  </si>
  <si>
    <t>delta_loss</t>
  </si>
  <si>
    <t>baseline</t>
  </si>
  <si>
    <t>attnres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</si>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</sst>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workbookViewId="0">
      <selection activeCell="B2" sqref="B2:D15"/>
    </sheetView>
  </sheetViews>
  <sheetFormatPr baseColWidth="10" defaultColWidth="8.83203125" defaultRowHeight="15" x14ac:dyDescent="0.2"/>
  <cols>
    <col min="10" max="15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 t="s">
        <v>15</v>
      </c>
      <c r="C2" s="1">
        <v>512</v>
      </c>
      <c r="D2" s="1">
        <v>200</v>
      </c>
      <c r="E2" s="1">
        <v>70.926788330078097</v>
      </c>
      <c r="F2" s="1">
        <v>4.2616483211517302</v>
      </c>
    </row>
    <row r="3" spans="1:6" x14ac:dyDescent="0.2">
      <c r="A3" t="s">
        <v>12</v>
      </c>
      <c r="B3" t="s">
        <v>15</v>
      </c>
      <c r="C3" s="1">
        <v>512</v>
      </c>
      <c r="D3" s="1">
        <v>200</v>
      </c>
      <c r="E3" s="1">
        <v>84.153373718261705</v>
      </c>
      <c r="F3" s="1">
        <v>4.4326408386230396</v>
      </c>
    </row>
    <row r="4" spans="1:6" x14ac:dyDescent="0.2">
      <c r="A4" t="s">
        <v>13</v>
      </c>
      <c r="B4" t="s">
        <v>16</v>
      </c>
      <c r="C4" s="1">
        <v>512</v>
      </c>
      <c r="D4" s="1">
        <v>300</v>
      </c>
      <c r="E4" s="1">
        <v>62.1412963867187</v>
      </c>
      <c r="F4" s="1">
        <v>4.1294108629226596</v>
      </c>
    </row>
    <row r="5" spans="1:6" x14ac:dyDescent="0.2">
      <c r="A5" t="s">
        <v>12</v>
      </c>
      <c r="B5" t="s">
        <v>16</v>
      </c>
      <c r="C5" s="1">
        <v>512</v>
      </c>
      <c r="D5" s="1">
        <v>300</v>
      </c>
      <c r="E5" s="1">
        <v>65.477462768554602</v>
      </c>
      <c r="F5" s="1">
        <v>4.1817061424255302</v>
      </c>
    </row>
    <row r="6" spans="1:6" x14ac:dyDescent="0.2">
      <c r="A6" t="s">
        <v>13</v>
      </c>
      <c r="B6" t="s">
        <v>14</v>
      </c>
      <c r="C6" s="1">
        <v>256</v>
      </c>
      <c r="D6" s="1">
        <v>2000</v>
      </c>
      <c r="E6" s="1">
        <v>12.132091522216699</v>
      </c>
      <c r="F6" s="1">
        <v>2.4958541393279998</v>
      </c>
    </row>
    <row r="7" spans="1:6" x14ac:dyDescent="0.2">
      <c r="A7" t="s">
        <v>12</v>
      </c>
      <c r="B7" t="s">
        <v>14</v>
      </c>
      <c r="C7" s="1">
        <v>256</v>
      </c>
      <c r="D7" s="1">
        <v>2000</v>
      </c>
      <c r="E7" s="1">
        <v>14.761962890625</v>
      </c>
      <c r="F7" s="1">
        <v>2.6920538187026901</v>
      </c>
    </row>
    <row r="8" spans="1:6" x14ac:dyDescent="0.2">
      <c r="A8" t="s">
        <v>13</v>
      </c>
      <c r="B8" t="s">
        <v>15</v>
      </c>
      <c r="C8" s="1">
        <v>256</v>
      </c>
      <c r="D8" s="1">
        <v>200</v>
      </c>
      <c r="E8" s="1">
        <v>79.426200866699205</v>
      </c>
      <c r="F8" s="1">
        <v>4.3748284339904702</v>
      </c>
    </row>
    <row r="9" spans="1:6" x14ac:dyDescent="0.2">
      <c r="A9" t="s">
        <v>12</v>
      </c>
      <c r="B9" t="s">
        <v>15</v>
      </c>
      <c r="C9" s="1">
        <v>256</v>
      </c>
      <c r="D9" s="1">
        <v>200</v>
      </c>
      <c r="E9" s="1">
        <v>97.334793090820298</v>
      </c>
      <c r="F9" s="1">
        <v>4.5781565189361499</v>
      </c>
    </row>
    <row r="10" spans="1:6" x14ac:dyDescent="0.2">
      <c r="A10" t="s">
        <v>13</v>
      </c>
      <c r="B10" t="s">
        <v>16</v>
      </c>
      <c r="C10" s="1">
        <v>256</v>
      </c>
      <c r="D10" s="1">
        <v>300</v>
      </c>
      <c r="E10" s="1">
        <v>67.708282470703097</v>
      </c>
      <c r="F10" s="1">
        <v>4.2152085781097401</v>
      </c>
    </row>
    <row r="11" spans="1:6" x14ac:dyDescent="0.2">
      <c r="A11" t="s">
        <v>12</v>
      </c>
      <c r="B11" t="s">
        <v>16</v>
      </c>
      <c r="C11" s="1">
        <v>256</v>
      </c>
      <c r="D11" s="1">
        <v>300</v>
      </c>
      <c r="E11" s="1">
        <v>73.525039672851506</v>
      </c>
      <c r="F11" s="1">
        <v>4.2976259231567298</v>
      </c>
    </row>
    <row r="12" spans="1:6" x14ac:dyDescent="0.2">
      <c r="A12" t="s">
        <v>13</v>
      </c>
      <c r="B12" t="s">
        <v>15</v>
      </c>
      <c r="C12" s="1">
        <v>128</v>
      </c>
      <c r="D12" s="1">
        <v>200</v>
      </c>
      <c r="E12" s="1">
        <v>89.868049621582003</v>
      </c>
      <c r="F12" s="1">
        <v>4.4983426094055101</v>
      </c>
    </row>
    <row r="13" spans="1:6" x14ac:dyDescent="0.2">
      <c r="A13" t="s">
        <v>12</v>
      </c>
      <c r="B13" t="s">
        <v>15</v>
      </c>
      <c r="C13" s="1">
        <v>128</v>
      </c>
      <c r="D13" s="1">
        <v>200</v>
      </c>
      <c r="E13" s="1">
        <v>115.787948608398</v>
      </c>
      <c r="F13" s="1">
        <v>4.7517604827880797</v>
      </c>
    </row>
    <row r="14" spans="1:6" x14ac:dyDescent="0.2">
      <c r="A14" t="s">
        <v>13</v>
      </c>
      <c r="B14" t="s">
        <v>16</v>
      </c>
      <c r="C14" s="1">
        <v>128</v>
      </c>
      <c r="D14" s="1">
        <v>300</v>
      </c>
      <c r="E14" s="1">
        <v>71.908843994140597</v>
      </c>
      <c r="F14" s="1">
        <v>4.2753991127014102</v>
      </c>
    </row>
    <row r="15" spans="1:6" x14ac:dyDescent="0.2">
      <c r="A15" t="s">
        <v>12</v>
      </c>
      <c r="B15" t="s">
        <v>16</v>
      </c>
      <c r="C15" s="1">
        <v>128</v>
      </c>
      <c r="D15" s="1">
        <v>300</v>
      </c>
      <c r="E15" s="1">
        <v>79.222099304199205</v>
      </c>
      <c r="F15" s="1">
        <v>4.3722554683685297</v>
      </c>
    </row>
    <row r="37" spans="14:19" x14ac:dyDescent="0.2">
      <c r="N37" t="s">
        <v>12</v>
      </c>
      <c r="O37" t="s">
        <v>14</v>
      </c>
      <c r="P37">
        <v>512</v>
      </c>
      <c r="Q37">
        <v>2000</v>
      </c>
      <c r="R37">
        <v>12.9783115386962</v>
      </c>
      <c r="S37">
        <v>2.5632796525955199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selection activeCell="O17" sqref="O17"/>
    </sheetView>
  </sheetViews>
  <sheetFormatPr baseColWidth="10" defaultColWidth="8.83203125" defaultRowHeight="15" x14ac:dyDescent="0.2"/>
  <cols>
    <col min="4" max="4" width="11.33203125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  <c r="I1" s="2" t="s">
        <v>11</v>
      </c>
    </row>
    <row r="2" spans="1:9" x14ac:dyDescent="0.2">
      <c r="A2" t="s">
        <v>14</v>
      </c>
      <c r="B2" s="1">
        <v>256</v>
      </c>
      <c r="C2" s="1">
        <v>2000</v>
      </c>
      <c r="D2">
        <f>AVERAGEIFS(RawData!E:E, RawData!A:A, "baseline", RawData!B:B, A2, RawData!C:C, B2, RawData!D:D, C2)</f>
        <v>14.761962890625</v>
      </c>
      <c r="E2">
        <f>AVERAGEIFS(RawData!E:E, RawData!A:A, "attnres", RawData!B:B, A2, RawData!C:C, B2, RawData!D:D, C2)</f>
        <v>12.132091522216699</v>
      </c>
      <c r="F2" s="2">
        <f>D2-E2</f>
        <v>2.6298713684083008</v>
      </c>
      <c r="G2">
        <f>AVERAGEIFS(RawData!F:F, RawData!A:A, "baseline", RawData!B:B, A2, RawData!C:C, B2, RawData!D:D, C2)</f>
        <v>2.6920538187026901</v>
      </c>
      <c r="H2">
        <f>AVERAGEIFS(RawData!F:F, RawData!A:A, "attnres", RawData!B:B, A2, RawData!C:C, B2, RawData!D:D, C2)</f>
        <v>2.4958541393279998</v>
      </c>
      <c r="I2" s="2">
        <f>G2-H2</f>
        <v>0.19619967937469029</v>
      </c>
    </row>
    <row r="3" spans="1:9" x14ac:dyDescent="0.2">
      <c r="A3" t="s">
        <v>14</v>
      </c>
      <c r="B3" s="1">
        <v>256</v>
      </c>
      <c r="C3" s="1">
        <v>2000</v>
      </c>
      <c r="D3">
        <f>AVERAGEIFS(RawData!E:E, RawData!A:A, "baseline", RawData!B:B, A3, RawData!C:C, B3, RawData!D:D, C3)</f>
        <v>14.761962890625</v>
      </c>
      <c r="E3">
        <f>AVERAGEIFS(RawData!E:E, RawData!A:A, "attnres", RawData!B:B, A3, RawData!C:C, B3, RawData!D:D, C3)</f>
        <v>12.132091522216699</v>
      </c>
      <c r="F3" s="2">
        <f>D3-E3</f>
        <v>2.6298713684083008</v>
      </c>
      <c r="G3">
        <f>AVERAGEIFS(RawData!F:F, RawData!A:A, "baseline", RawData!B:B, A3, RawData!C:C, B3, RawData!D:D, C3)</f>
        <v>2.6920538187026901</v>
      </c>
      <c r="H3">
        <f>AVERAGEIFS(RawData!F:F, RawData!A:A, "attnres", RawData!B:B, A3, RawData!C:C, B3, RawData!D:D, C3)</f>
        <v>2.4958541393279998</v>
      </c>
      <c r="I3" s="2">
        <f>G3-H3</f>
        <v>0.19619967937469029</v>
      </c>
    </row>
    <row r="4" spans="1:9" x14ac:dyDescent="0.2">
      <c r="A4" t="s">
        <v>15</v>
      </c>
      <c r="B4" s="1">
        <v>512</v>
      </c>
      <c r="C4" s="1">
        <v>200</v>
      </c>
      <c r="D4">
        <f>AVERAGEIFS(RawData!E:E, RawData!A:A, "baseline", RawData!B:B, A4, RawData!C:C, B4, RawData!D:D, C4)</f>
        <v>84.153373718261705</v>
      </c>
      <c r="E4">
        <f>AVERAGEIFS(RawData!E:E, RawData!A:A, "attnres", RawData!B:B, A4, RawData!C:C, B4, RawData!D:D, C4)</f>
        <v>70.926788330078097</v>
      </c>
      <c r="F4" s="2">
        <f>D4-E4</f>
        <v>13.226585388183608</v>
      </c>
      <c r="G4">
        <f>AVERAGEIFS(RawData!F:F, RawData!A:A, "baseline", RawData!B:B, A4, RawData!C:C, B4, RawData!D:D, C4)</f>
        <v>4.4326408386230396</v>
      </c>
      <c r="H4">
        <f>AVERAGEIFS(RawData!F:F, RawData!A:A, "attnres", RawData!B:B, A4, RawData!C:C, B4, RawData!D:D, C4)</f>
        <v>4.2616483211517302</v>
      </c>
      <c r="I4" s="2">
        <f>G4-H4</f>
        <v>0.17099251747130939</v>
      </c>
    </row>
    <row r="5" spans="1:9" x14ac:dyDescent="0.2">
      <c r="A5" t="s">
        <v>15</v>
      </c>
      <c r="B5" s="1">
        <v>512</v>
      </c>
      <c r="C5" s="1">
        <v>200</v>
      </c>
      <c r="D5">
        <f>AVERAGEIFS(RawData!E:E, RawData!A:A, "baseline", RawData!B:B, A5, RawData!C:C, B5, RawData!D:D, C5)</f>
        <v>84.153373718261705</v>
      </c>
      <c r="E5">
        <f>AVERAGEIFS(RawData!E:E, RawData!A:A, "attnres", RawData!B:B, A5, RawData!C:C, B5, RawData!D:D, C5)</f>
        <v>70.926788330078097</v>
      </c>
      <c r="F5" s="2">
        <f>D5-E5</f>
        <v>13.226585388183608</v>
      </c>
      <c r="G5">
        <f>AVERAGEIFS(RawData!F:F, RawData!A:A, "baseline", RawData!B:B, A5, RawData!C:C, B5, RawData!D:D, C5)</f>
        <v>4.4326408386230396</v>
      </c>
      <c r="H5">
        <f>AVERAGEIFS(RawData!F:F, RawData!A:A, "attnres", RawData!B:B, A5, RawData!C:C, B5, RawData!D:D, C5)</f>
        <v>4.2616483211517302</v>
      </c>
      <c r="I5" s="2">
        <f>G5-H5</f>
        <v>0.17099251747130939</v>
      </c>
    </row>
    <row r="6" spans="1:9" x14ac:dyDescent="0.2">
      <c r="A6" t="s">
        <v>15</v>
      </c>
      <c r="B6" s="1">
        <v>256</v>
      </c>
      <c r="C6" s="1">
        <v>200</v>
      </c>
      <c r="D6">
        <f>AVERAGEIFS(RawData!E:E, RawData!A:A, "baseline", RawData!B:B, A6, RawData!C:C, B6, RawData!D:D, C6)</f>
        <v>97.334793090820298</v>
      </c>
      <c r="E6">
        <f>AVERAGEIFS(RawData!E:E, RawData!A:A, "attnres", RawData!B:B, A6, RawData!C:C, B6, RawData!D:D, C6)</f>
        <v>79.426200866699205</v>
      </c>
      <c r="F6" s="2">
        <f>D6-E6</f>
        <v>17.908592224121094</v>
      </c>
      <c r="G6">
        <f>AVERAGEIFS(RawData!F:F, RawData!A:A, "baseline", RawData!B:B, A6, RawData!C:C, B6, RawData!D:D, C6)</f>
        <v>4.5781565189361499</v>
      </c>
      <c r="H6">
        <f>AVERAGEIFS(RawData!F:F, RawData!A:A, "attnres", RawData!B:B, A6, RawData!C:C, B6, RawData!D:D, C6)</f>
        <v>4.3748284339904702</v>
      </c>
      <c r="I6" s="2">
        <f>G6-H6</f>
        <v>0.20332808494567978</v>
      </c>
    </row>
    <row r="7" spans="1:9" x14ac:dyDescent="0.2">
      <c r="A7" t="s">
        <v>15</v>
      </c>
      <c r="B7" s="1">
        <v>256</v>
      </c>
      <c r="C7" s="1">
        <v>200</v>
      </c>
      <c r="D7">
        <f>AVERAGEIFS(RawData!E:E, RawData!A:A, "baseline", RawData!B:B, A7, RawData!C:C, B7, RawData!D:D, C7)</f>
        <v>97.334793090820298</v>
      </c>
      <c r="E7">
        <f>AVERAGEIFS(RawData!E:E, RawData!A:A, "attnres", RawData!B:B, A7, RawData!C:C, B7, RawData!D:D, C7)</f>
        <v>79.426200866699205</v>
      </c>
      <c r="F7" s="2">
        <f>D7-E7</f>
        <v>17.908592224121094</v>
      </c>
      <c r="G7">
        <f>AVERAGEIFS(RawData!F:F, RawData!A:A, "baseline", RawData!B:B, A7, RawData!C:C, B7, RawData!D:D, C7)</f>
        <v>4.5781565189361499</v>
      </c>
      <c r="H7">
        <f>AVERAGEIFS(RawData!F:F, RawData!A:A, "attnres", RawData!B:B, A7, RawData!C:C, B7, RawData!D:D, C7)</f>
        <v>4.3748284339904702</v>
      </c>
      <c r="I7" s="2">
        <f>G7-H7</f>
        <v>0.20332808494567978</v>
      </c>
    </row>
    <row r="8" spans="1:9" x14ac:dyDescent="0.2">
      <c r="A8" t="s">
        <v>15</v>
      </c>
      <c r="B8" s="1">
        <v>128</v>
      </c>
      <c r="C8" s="1">
        <v>200</v>
      </c>
      <c r="D8">
        <f>AVERAGEIFS(RawData!E:E, RawData!A:A, "baseline", RawData!B:B, A8, RawData!C:C, B8, RawData!D:D, C8)</f>
        <v>115.787948608398</v>
      </c>
      <c r="E8">
        <f>AVERAGEIFS(RawData!E:E, RawData!A:A, "attnres", RawData!B:B, A8, RawData!C:C, B8, RawData!D:D, C8)</f>
        <v>89.868049621582003</v>
      </c>
      <c r="F8" s="2">
        <f>D8-E8</f>
        <v>25.919898986815994</v>
      </c>
      <c r="G8">
        <f>AVERAGEIFS(RawData!F:F, RawData!A:A, "baseline", RawData!B:B, A8, RawData!C:C, B8, RawData!D:D, C8)</f>
        <v>4.7517604827880797</v>
      </c>
      <c r="H8">
        <f>AVERAGEIFS(RawData!F:F, RawData!A:A, "attnres", RawData!B:B, A8, RawData!C:C, B8, RawData!D:D, C8)</f>
        <v>4.4983426094055101</v>
      </c>
      <c r="I8" s="2">
        <f>G8-H8</f>
        <v>0.2534178733825696</v>
      </c>
    </row>
    <row r="9" spans="1:9" x14ac:dyDescent="0.2">
      <c r="A9" t="s">
        <v>15</v>
      </c>
      <c r="B9" s="1">
        <v>128</v>
      </c>
      <c r="C9" s="1">
        <v>200</v>
      </c>
      <c r="D9">
        <f>AVERAGEIFS(RawData!E:E, RawData!A:A, "baseline", RawData!B:B, A9, RawData!C:C, B9, RawData!D:D, C9)</f>
        <v>115.787948608398</v>
      </c>
      <c r="E9">
        <f>AVERAGEIFS(RawData!E:E, RawData!A:A, "attnres", RawData!B:B, A9, RawData!C:C, B9, RawData!D:D, C9)</f>
        <v>89.868049621582003</v>
      </c>
      <c r="F9" s="2">
        <f>D9-E9</f>
        <v>25.919898986815994</v>
      </c>
      <c r="G9">
        <f>AVERAGEIFS(RawData!F:F, RawData!A:A, "baseline", RawData!B:B, A9, RawData!C:C, B9, RawData!D:D, C9)</f>
        <v>4.7517604827880797</v>
      </c>
      <c r="H9">
        <f>AVERAGEIFS(RawData!F:F, RawData!A:A, "attnres", RawData!B:B, A9, RawData!C:C, B9, RawData!D:D, C9)</f>
        <v>4.4983426094055101</v>
      </c>
      <c r="I9" s="2">
        <f>G9-H9</f>
        <v>0.2534178733825696</v>
      </c>
    </row>
    <row r="10" spans="1:9" x14ac:dyDescent="0.2">
      <c r="A10" t="s">
        <v>16</v>
      </c>
      <c r="B10" s="1">
        <v>512</v>
      </c>
      <c r="C10" s="1">
        <v>300</v>
      </c>
      <c r="D10">
        <f>AVERAGEIFS(RawData!E:E, RawData!A:A, "baseline", RawData!B:B, A10, RawData!C:C, B10, RawData!D:D, C10)</f>
        <v>65.477462768554602</v>
      </c>
      <c r="E10">
        <f>AVERAGEIFS(RawData!E:E, RawData!A:A, "attnres", RawData!B:B, A10, RawData!C:C, B10, RawData!D:D, C10)</f>
        <v>62.1412963867187</v>
      </c>
      <c r="F10" s="2">
        <f>D10-E10</f>
        <v>3.336166381835902</v>
      </c>
      <c r="G10">
        <f>AVERAGEIFS(RawData!F:F, RawData!A:A, "baseline", RawData!B:B, A10, RawData!C:C, B10, RawData!D:D, C10)</f>
        <v>4.1817061424255302</v>
      </c>
      <c r="H10">
        <f>AVERAGEIFS(RawData!F:F, RawData!A:A, "attnres", RawData!B:B, A10, RawData!C:C, B10, RawData!D:D, C10)</f>
        <v>4.1294108629226596</v>
      </c>
      <c r="I10" s="2">
        <f>G10-H10</f>
        <v>5.2295279502870606E-2</v>
      </c>
    </row>
    <row r="11" spans="1:9" x14ac:dyDescent="0.2">
      <c r="A11" t="s">
        <v>16</v>
      </c>
      <c r="B11" s="1">
        <v>512</v>
      </c>
      <c r="C11" s="1">
        <v>300</v>
      </c>
      <c r="D11">
        <f>AVERAGEIFS(RawData!E:E, RawData!A:A, "baseline", RawData!B:B, A11, RawData!C:C, B11, RawData!D:D, C11)</f>
        <v>65.477462768554602</v>
      </c>
      <c r="E11">
        <f>AVERAGEIFS(RawData!E:E, RawData!A:A, "attnres", RawData!B:B, A11, RawData!C:C, B11, RawData!D:D, C11)</f>
        <v>62.1412963867187</v>
      </c>
      <c r="F11" s="2">
        <f>D11-E11</f>
        <v>3.336166381835902</v>
      </c>
      <c r="G11">
        <f>AVERAGEIFS(RawData!F:F, RawData!A:A, "baseline", RawData!B:B, A11, RawData!C:C, B11, RawData!D:D, C11)</f>
        <v>4.1817061424255302</v>
      </c>
      <c r="H11">
        <f>AVERAGEIFS(RawData!F:F, RawData!A:A, "attnres", RawData!B:B, A11, RawData!C:C, B11, RawData!D:D, C11)</f>
        <v>4.1294108629226596</v>
      </c>
      <c r="I11" s="2">
        <f>G11-H11</f>
        <v>5.2295279502870606E-2</v>
      </c>
    </row>
    <row r="12" spans="1:9" x14ac:dyDescent="0.2">
      <c r="A12" t="s">
        <v>16</v>
      </c>
      <c r="B12" s="1">
        <v>256</v>
      </c>
      <c r="C12" s="1">
        <v>300</v>
      </c>
      <c r="D12">
        <f>AVERAGEIFS(RawData!E:E, RawData!A:A, "baseline", RawData!B:B, A12, RawData!C:C, B12, RawData!D:D, C12)</f>
        <v>73.525039672851506</v>
      </c>
      <c r="E12">
        <f>AVERAGEIFS(RawData!E:E, RawData!A:A, "attnres", RawData!B:B, A12, RawData!C:C, B12, RawData!D:D, C12)</f>
        <v>67.708282470703097</v>
      </c>
      <c r="F12" s="2">
        <f>D12-E12</f>
        <v>5.8167572021484091</v>
      </c>
      <c r="G12">
        <f>AVERAGEIFS(RawData!F:F, RawData!A:A, "baseline", RawData!B:B, A12, RawData!C:C, B12, RawData!D:D, C12)</f>
        <v>4.2976259231567298</v>
      </c>
      <c r="H12">
        <f>AVERAGEIFS(RawData!F:F, RawData!A:A, "attnres", RawData!B:B, A12, RawData!C:C, B12, RawData!D:D, C12)</f>
        <v>4.2152085781097401</v>
      </c>
      <c r="I12" s="2">
        <f>G12-H12</f>
        <v>8.241734504698961E-2</v>
      </c>
    </row>
    <row r="13" spans="1:9" x14ac:dyDescent="0.2">
      <c r="A13" t="s">
        <v>16</v>
      </c>
      <c r="B13" s="1">
        <v>256</v>
      </c>
      <c r="C13" s="1">
        <v>300</v>
      </c>
      <c r="D13">
        <f>AVERAGEIFS(RawData!E:E, RawData!A:A, "baseline", RawData!B:B, A13, RawData!C:C, B13, RawData!D:D, C13)</f>
        <v>73.525039672851506</v>
      </c>
      <c r="E13">
        <f>AVERAGEIFS(RawData!E:E, RawData!A:A, "attnres", RawData!B:B, A13, RawData!C:C, B13, RawData!D:D, C13)</f>
        <v>67.708282470703097</v>
      </c>
      <c r="F13" s="2">
        <f>D13-E13</f>
        <v>5.8167572021484091</v>
      </c>
      <c r="G13">
        <f>AVERAGEIFS(RawData!F:F, RawData!A:A, "baseline", RawData!B:B, A13, RawData!C:C, B13, RawData!D:D, C13)</f>
        <v>4.2976259231567298</v>
      </c>
      <c r="H13">
        <f>AVERAGEIFS(RawData!F:F, RawData!A:A, "attnres", RawData!B:B, A13, RawData!C:C, B13, RawData!D:D, C13)</f>
        <v>4.2152085781097401</v>
      </c>
      <c r="I13" s="2">
        <f>G13-H13</f>
        <v>8.241734504698961E-2</v>
      </c>
    </row>
    <row r="14" spans="1:9" x14ac:dyDescent="0.2">
      <c r="A14" t="s">
        <v>16</v>
      </c>
      <c r="B14" s="1">
        <v>128</v>
      </c>
      <c r="C14" s="1">
        <v>300</v>
      </c>
      <c r="D14">
        <f>AVERAGEIFS(RawData!E:E, RawData!A:A, "baseline", RawData!B:B, A14, RawData!C:C, B14, RawData!D:D, C14)</f>
        <v>79.222099304199205</v>
      </c>
      <c r="E14">
        <f>AVERAGEIFS(RawData!E:E, RawData!A:A, "attnres", RawData!B:B, A14, RawData!C:C, B14, RawData!D:D, C14)</f>
        <v>71.908843994140597</v>
      </c>
      <c r="F14" s="2">
        <f>D14-E14</f>
        <v>7.313255310058608</v>
      </c>
      <c r="G14">
        <f>AVERAGEIFS(RawData!F:F, RawData!A:A, "baseline", RawData!B:B, A14, RawData!C:C, B14, RawData!D:D, C14)</f>
        <v>4.3722554683685297</v>
      </c>
      <c r="H14">
        <f>AVERAGEIFS(RawData!F:F, RawData!A:A, "attnres", RawData!B:B, A14, RawData!C:C, B14, RawData!D:D, C14)</f>
        <v>4.2753991127014102</v>
      </c>
      <c r="I14" s="2">
        <f>G14-H14</f>
        <v>9.6856355667119587E-2</v>
      </c>
    </row>
    <row r="15" spans="1:9" x14ac:dyDescent="0.2">
      <c r="A15" t="s">
        <v>16</v>
      </c>
      <c r="B15" s="1">
        <v>128</v>
      </c>
      <c r="C15" s="1">
        <v>300</v>
      </c>
      <c r="D15">
        <f>AVERAGEIFS(RawData!E:E, RawData!A:A, "baseline", RawData!B:B, A15, RawData!C:C, B15, RawData!D:D, C15)</f>
        <v>79.222099304199205</v>
      </c>
      <c r="E15">
        <f>AVERAGEIFS(RawData!E:E, RawData!A:A, "attnres", RawData!B:B, A15, RawData!C:C, B15, RawData!D:D, C15)</f>
        <v>71.908843994140597</v>
      </c>
      <c r="F15" s="2">
        <f>D15-E15</f>
        <v>7.313255310058608</v>
      </c>
      <c r="G15">
        <f>AVERAGEIFS(RawData!F:F, RawData!A:A, "baseline", RawData!B:B, A15, RawData!C:C, B15, RawData!D:D, C15)</f>
        <v>4.3722554683685297</v>
      </c>
      <c r="H15">
        <f>AVERAGEIFS(RawData!F:F, RawData!A:A, "attnres", RawData!B:B, A15, RawData!C:C, B15, RawData!D:D, C15)</f>
        <v>4.2753991127014102</v>
      </c>
      <c r="I15" s="2">
        <f>G15-H15</f>
        <v>9.6856355667119587E-2</v>
      </c>
    </row>
  </sheetData>
  <autoFilter ref="B1:B15" xr:uid="{00000000-0001-0000-0100-000000000000}"/>
  <sortState xmlns:xlrd2="http://schemas.microsoft.com/office/spreadsheetml/2017/richdata2" ref="A2:I15">
    <sortCondition ref="A2:A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Atin Kumar Singh</cp:lastModifiedBy>
  <dcterms:created xsi:type="dcterms:W3CDTF">2026-03-21T08:09:34Z</dcterms:created>
  <dcterms:modified xsi:type="dcterms:W3CDTF">2026-03-21T19:01:41Z</dcterms:modified>
</cp:coreProperties>
</file>